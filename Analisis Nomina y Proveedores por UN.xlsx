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Nómina Empleados" sheetId="2" state="visible" r:id="rId4"/>
    <sheet name="Honorarios" sheetId="3" state="visible" r:id="rId5"/>
    <sheet name="Proveedores por UN" sheetId="4" state="visible" r:id="rId6"/>
    <sheet name="Consolidado Tot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<sst xmlns="http://schemas.openxmlformats.org/spreadsheetml/2006/main" count="382" uniqueCount="135">
  <si>
    <t xml:space="preserve">Distribución de Costos por Unidad de Negocio — Q1 2026</t>
  </si>
  <si>
    <t xml:space="preserve">Fuente: BD Movimientos (REAL, Ene-Mar 2026) cruzado con Nómina y Catálogo CC</t>
  </si>
  <si>
    <t xml:space="preserve">Números en miles de ARS (K$). Promedios mensuales = Q1 / 3.</t>
  </si>
  <si>
    <t xml:space="preserve">KPI</t>
  </si>
  <si>
    <t xml:space="preserve">Q1 2026 (K$)</t>
  </si>
  <si>
    <t xml:space="preserve">Prom. Mensual (K$)</t>
  </si>
  <si>
    <t xml:space="preserve">Total Egresos Operativos Q1</t>
  </si>
  <si>
    <t xml:space="preserve">Sueldos y Jornales (bulk nómina)</t>
  </si>
  <si>
    <t xml:space="preserve">Honorarios Freelance</t>
  </si>
  <si>
    <t xml:space="preserve">Proveedores — BAU (Taquion)</t>
  </si>
  <si>
    <t xml:space="preserve">Proveedores — CUENTA Proyecto (cliente)</t>
  </si>
  <si>
    <t xml:space="preserve">Headcount Empleados</t>
  </si>
  <si>
    <t xml:space="preserve">—</t>
  </si>
  <si>
    <t xml:space="preserve">Headcount Honorarios</t>
  </si>
  <si>
    <t xml:space="preserve">Consolidado por Unidad (Q1 2026, K$)</t>
  </si>
  <si>
    <t xml:space="preserve">Unidad</t>
  </si>
  <si>
    <t xml:space="preserve">Tipo</t>
  </si>
  <si>
    <t xml:space="preserve">Sueldos (alloc)</t>
  </si>
  <si>
    <t xml:space="preserve">Honorarios</t>
  </si>
  <si>
    <t xml:space="preserve">Prov. BAU</t>
  </si>
  <si>
    <t xml:space="preserve">Prov. CUENTA</t>
  </si>
  <si>
    <t xml:space="preserve">TOTAL Q1</t>
  </si>
  <si>
    <t xml:space="preserve">Administración</t>
  </si>
  <si>
    <t xml:space="preserve">Soporte</t>
  </si>
  <si>
    <t xml:space="preserve">Banca &amp; Fintech</t>
  </si>
  <si>
    <t xml:space="preserve">Industria/Cliente</t>
  </si>
  <si>
    <t xml:space="preserve">Capital Humano</t>
  </si>
  <si>
    <t xml:space="preserve">Comercial</t>
  </si>
  <si>
    <t xml:space="preserve">Vendible</t>
  </si>
  <si>
    <t xml:space="preserve">Cuentas</t>
  </si>
  <si>
    <t xml:space="preserve">Estructura Operativa</t>
  </si>
  <si>
    <t xml:space="preserve">Financiero</t>
  </si>
  <si>
    <t xml:space="preserve">Ignite</t>
  </si>
  <si>
    <t xml:space="preserve">Insights</t>
  </si>
  <si>
    <t xml:space="preserve">Inspire</t>
  </si>
  <si>
    <t xml:space="preserve">Public Affairs</t>
  </si>
  <si>
    <t xml:space="preserve">Tecnología</t>
  </si>
  <si>
    <t xml:space="preserve">Top Management</t>
  </si>
  <si>
    <t xml:space="preserve">TOTAL</t>
  </si>
  <si>
    <t xml:space="preserve">Peso % del Total por Unidad</t>
  </si>
  <si>
    <t xml:space="preserve">% Total</t>
  </si>
  <si>
    <t xml:space="preserve">NÓMINA EMPLEADOS — Distribución por Unidad</t>
  </si>
  <si>
    <t xml:space="preserve">#</t>
  </si>
  <si>
    <t xml:space="preserve">Nombre</t>
  </si>
  <si>
    <t xml:space="preserve">UN</t>
  </si>
  <si>
    <t xml:space="preserve">Clasificación</t>
  </si>
  <si>
    <t xml:space="preserve">Modalidad</t>
  </si>
  <si>
    <t xml:space="preserve">Líder</t>
  </si>
  <si>
    <t xml:space="preserve">Sueldo Q1 Alloc (K)</t>
  </si>
  <si>
    <t xml:space="preserve">Agustina Correderas Nuñez</t>
  </si>
  <si>
    <t xml:space="preserve">VENDIBLE</t>
  </si>
  <si>
    <t xml:space="preserve">BAU</t>
  </si>
  <si>
    <t xml:space="preserve">RRDD</t>
  </si>
  <si>
    <t xml:space="preserve">Lider Insights</t>
  </si>
  <si>
    <t xml:space="preserve">Francisco Manuel Diez</t>
  </si>
  <si>
    <t xml:space="preserve">Monotributo</t>
  </si>
  <si>
    <t xml:space="preserve">Líder Inspire</t>
  </si>
  <si>
    <t xml:space="preserve">Isabel Ortega</t>
  </si>
  <si>
    <t xml:space="preserve">NO VENDIBLE</t>
  </si>
  <si>
    <t xml:space="preserve">CFO</t>
  </si>
  <si>
    <t xml:space="preserve">Joaquin Molina</t>
  </si>
  <si>
    <t xml:space="preserve">COO</t>
  </si>
  <si>
    <t xml:space="preserve">Lorena Rinaldini</t>
  </si>
  <si>
    <t xml:space="preserve">Maria Azul Alvarez</t>
  </si>
  <si>
    <t xml:space="preserve">CCO</t>
  </si>
  <si>
    <t xml:space="preserve">Nicolas Aicardi</t>
  </si>
  <si>
    <t xml:space="preserve">Líder Insights</t>
  </si>
  <si>
    <t xml:space="preserve">Santiago Estrada</t>
  </si>
  <si>
    <t xml:space="preserve">Mixta</t>
  </si>
  <si>
    <t xml:space="preserve">CEO</t>
  </si>
  <si>
    <t xml:space="preserve">Sergio Doval</t>
  </si>
  <si>
    <t xml:space="preserve">Sol Brinatti</t>
  </si>
  <si>
    <t xml:space="preserve">Tiago Couce</t>
  </si>
  <si>
    <t xml:space="preserve">Camila Lopez</t>
  </si>
  <si>
    <t xml:space="preserve">Candela Kissner</t>
  </si>
  <si>
    <t xml:space="preserve">Diego Kupferberg</t>
  </si>
  <si>
    <t xml:space="preserve">Felipe Pampin</t>
  </si>
  <si>
    <t xml:space="preserve">Santiago Pegito</t>
  </si>
  <si>
    <t xml:space="preserve">Maria Belen Altieri</t>
  </si>
  <si>
    <t xml:space="preserve">Julia Distefano</t>
  </si>
  <si>
    <t xml:space="preserve">Líder Diseño</t>
  </si>
  <si>
    <t xml:space="preserve">Julian Cordoba Pivotto</t>
  </si>
  <si>
    <t xml:space="preserve">Nicolas Medina</t>
  </si>
  <si>
    <t xml:space="preserve">Martin Villanueva</t>
  </si>
  <si>
    <t xml:space="preserve">Agustina Ferreyra</t>
  </si>
  <si>
    <t xml:space="preserve">Matias Nogueira</t>
  </si>
  <si>
    <t xml:space="preserve">COO / CEO</t>
  </si>
  <si>
    <t xml:space="preserve">Jasleidiz Lesmes Oñate</t>
  </si>
  <si>
    <t xml:space="preserve">Líder Ignite</t>
  </si>
  <si>
    <t xml:space="preserve">Sueldo Bulk Q1 (K ARS)</t>
  </si>
  <si>
    <t xml:space="preserve">Headcount</t>
  </si>
  <si>
    <t xml:space="preserve">Fuente: BD Movimientos Q1 2026, TIPO=Sueldos y Jornales</t>
  </si>
  <si>
    <t xml:space="preserve">HONORARIOS FREELANCE — Distribución BAU / CUENTA</t>
  </si>
  <si>
    <t xml:space="preserve">TIPO</t>
  </si>
  <si>
    <t xml:space="preserve">Costo Q1 (K)</t>
  </si>
  <si>
    <t xml:space="preserve">Prom/Mes (K)</t>
  </si>
  <si>
    <t xml:space="preserve">Rodrigo Nahuel Artigas</t>
  </si>
  <si>
    <t xml:space="preserve">CUENTA</t>
  </si>
  <si>
    <t xml:space="preserve">Lider Inspire</t>
  </si>
  <si>
    <t xml:space="preserve">Betzabeth Cristina Balzan Vale</t>
  </si>
  <si>
    <t xml:space="preserve">Lider Ignite</t>
  </si>
  <si>
    <t xml:space="preserve">Nicolas Jorge Bavoleo</t>
  </si>
  <si>
    <t xml:space="preserve">Gestión de Cuentas</t>
  </si>
  <si>
    <t xml:space="preserve">Solana Lucia Cuevas</t>
  </si>
  <si>
    <t xml:space="preserve">Fara Emilia Paula Gonzalez</t>
  </si>
  <si>
    <t xml:space="preserve">Sofia Julieta Griolli</t>
  </si>
  <si>
    <t xml:space="preserve">Victoria Lupo</t>
  </si>
  <si>
    <t xml:space="preserve">Christian Alberto Savloff</t>
  </si>
  <si>
    <t xml:space="preserve">Elena Celeste Targonol</t>
  </si>
  <si>
    <t xml:space="preserve">Julieta Mabel Torres</t>
  </si>
  <si>
    <t xml:space="preserve">Alejo Raul Zubillaga</t>
  </si>
  <si>
    <t xml:space="preserve">Gisela Alicia Bongiorni</t>
  </si>
  <si>
    <t xml:space="preserve">Maria Jose Montaño Coneo</t>
  </si>
  <si>
    <t xml:space="preserve">TOTAL Matched Q1</t>
  </si>
  <si>
    <t xml:space="preserve">Nota: "Costo Q1" proviene de BD Movimientos matcheando factura/CUIT. Honorarios sin match pueden estar en proveedores o aún no facturados en 2026.</t>
  </si>
  <si>
    <t xml:space="preserve">Bulk total honorarios freelance Q1 BD: ~$39,539 K (incluye no-matcheados)</t>
  </si>
  <si>
    <t xml:space="preserve">PROVEEDORES Q1 2026 — Distribución por UN (BAU vs CUENTA Proyecto)</t>
  </si>
  <si>
    <t xml:space="preserve">Unidad (CC)</t>
  </si>
  <si>
    <t xml:space="preserve">BAU (K)</t>
  </si>
  <si>
    <t xml:space="preserve">CUENTA Proyecto (K)</t>
  </si>
  <si>
    <t xml:space="preserve">Total Q1 (K)</t>
  </si>
  <si>
    <t xml:space="preserve">% Peso</t>
  </si>
  <si>
    <t xml:space="preserve">Industria/Otro</t>
  </si>
  <si>
    <t xml:space="preserve">Entretenimiento y Deportes</t>
  </si>
  <si>
    <t xml:space="preserve">100.0%</t>
  </si>
  <si>
    <t xml:space="preserve">CONSOLIDADO Q1 2026 — Nómina + Honorarios + Proveedores por UN</t>
  </si>
  <si>
    <t xml:space="preserve">Sueldos (K)</t>
  </si>
  <si>
    <t xml:space="preserve">Honorarios (K)</t>
  </si>
  <si>
    <t xml:space="preserve">Prov. BAU (K)</t>
  </si>
  <si>
    <t xml:space="preserve">Prov. CUENTA (K)</t>
  </si>
  <si>
    <t xml:space="preserve">TOTAL Q1 (K)</t>
  </si>
  <si>
    <t xml:space="preserve">SUBTOTAL VENDIBLES</t>
  </si>
  <si>
    <t xml:space="preserve">SUBTOTAL SOPORTE</t>
  </si>
  <si>
    <t xml:space="preserve">SUBTOTAL INDUSTRIA/OTRO</t>
  </si>
  <si>
    <t xml:space="preserve">Lectura: "TOTAL Q1" combina costo directo (sueldos prorrateados x HC + honorarios + proveedores BAU + proveedores CUENTA). Sueldos bulk distribuidos proporcional a HC.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</si>
</sst>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#,##0;\(#,##0\);\-"/>
    <numFmt numFmtId="169" formatCode="#,##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DEEBF7"/>
        <bgColor rgb="FFD9E1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60606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693172.4912975</v>
      </c>
      <c r="C6" s="5" t="n">
        <f aca="false">B6/3</f>
        <v>231057.497099167</v>
      </c>
    </row>
    <row r="7" customFormat="false" ht="23.85" hidden="false" customHeight="false" outlineLevel="0" collapsed="false">
      <c r="A7" s="4" t="s">
        <v>7</v>
      </c>
      <c r="B7" s="5" t="n">
        <v>203945.34529</v>
      </c>
      <c r="C7" s="5" t="n">
        <f aca="false">B7/3</f>
        <v>67981.7817633333</v>
      </c>
    </row>
    <row r="8" customFormat="false" ht="15" hidden="false" customHeight="false" outlineLevel="0" collapsed="false">
      <c r="A8" s="4" t="s">
        <v>8</v>
      </c>
      <c r="B8" s="5" t="n">
        <v>39539</v>
      </c>
      <c r="C8" s="5" t="n">
        <f aca="false">B8/3</f>
        <v>13179.6666666667</v>
      </c>
    </row>
    <row r="9" customFormat="false" ht="15" hidden="false" customHeight="false" outlineLevel="0" collapsed="false">
      <c r="A9" s="4" t="s">
        <v>9</v>
      </c>
      <c r="B9" s="5" t="n">
        <v>267563.8194105</v>
      </c>
      <c r="C9" s="5" t="n">
        <f aca="false">B9/3</f>
        <v>89187.9398035</v>
      </c>
    </row>
    <row r="10" customFormat="false" ht="23.85" hidden="false" customHeight="false" outlineLevel="0" collapsed="false">
      <c r="A10" s="4" t="s">
        <v>10</v>
      </c>
      <c r="B10" s="5" t="n">
        <v>65161.401617</v>
      </c>
      <c r="C10" s="5" t="n">
        <f aca="false">B10/3</f>
        <v>21720.4672056667</v>
      </c>
    </row>
    <row r="11" customFormat="false" ht="15" hidden="false" customHeight="false" outlineLevel="0" collapsed="false">
      <c r="A11" s="4" t="s">
        <v>11</v>
      </c>
      <c r="B11" s="6" t="n">
        <v>24</v>
      </c>
      <c r="C11" s="7" t="s">
        <v>12</v>
      </c>
    </row>
    <row r="12" customFormat="false" ht="15" hidden="false" customHeight="false" outlineLevel="0" collapsed="false">
      <c r="A12" s="4" t="s">
        <v>13</v>
      </c>
      <c r="B12" s="6" t="n">
        <v>13</v>
      </c>
      <c r="C12" s="7" t="s">
        <v>12</v>
      </c>
    </row>
    <row r="16" customFormat="false" ht="17.35" hidden="false" customHeight="false" outlineLevel="0" collapsed="false">
      <c r="A16" s="1" t="s">
        <v>14</v>
      </c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21</v>
      </c>
    </row>
    <row r="18" customFormat="false" ht="15" hidden="false" customHeight="false" outlineLevel="0" collapsed="false">
      <c r="A18" s="8" t="s">
        <v>22</v>
      </c>
      <c r="B18" s="9" t="s">
        <v>23</v>
      </c>
      <c r="C18" s="10" t="n">
        <v>8497.72272041667</v>
      </c>
      <c r="D18" s="10" t="n">
        <v>0</v>
      </c>
      <c r="E18" s="10" t="n">
        <v>8172.85</v>
      </c>
      <c r="F18" s="10" t="n">
        <v>0</v>
      </c>
      <c r="G18" s="10" t="n">
        <f aca="false">SUM(C18:F18)</f>
        <v>16670.5727204167</v>
      </c>
    </row>
    <row r="19" customFormat="false" ht="15" hidden="false" customHeight="false" outlineLevel="0" collapsed="false">
      <c r="A19" s="11" t="s">
        <v>24</v>
      </c>
      <c r="B19" s="12" t="s">
        <v>25</v>
      </c>
      <c r="C19" s="13" t="n">
        <v>0</v>
      </c>
      <c r="D19" s="13" t="n">
        <v>0</v>
      </c>
      <c r="E19" s="13" t="n">
        <v>0</v>
      </c>
      <c r="F19" s="13" t="n">
        <v>1825</v>
      </c>
      <c r="G19" s="13" t="n">
        <f aca="false">SUM(C19:F19)</f>
        <v>1825</v>
      </c>
    </row>
    <row r="20" customFormat="false" ht="15" hidden="false" customHeight="false" outlineLevel="0" collapsed="false">
      <c r="A20" s="8" t="s">
        <v>26</v>
      </c>
      <c r="B20" s="9" t="s">
        <v>23</v>
      </c>
      <c r="C20" s="10" t="n">
        <v>8497.72272041667</v>
      </c>
      <c r="D20" s="10" t="n">
        <v>0</v>
      </c>
      <c r="E20" s="10" t="n">
        <v>1176.20181</v>
      </c>
      <c r="F20" s="10" t="n">
        <v>0</v>
      </c>
      <c r="G20" s="10" t="n">
        <f aca="false">SUM(C20:F20)</f>
        <v>9673.92453041667</v>
      </c>
    </row>
    <row r="21" customFormat="false" ht="15" hidden="false" customHeight="false" outlineLevel="0" collapsed="false">
      <c r="A21" s="14" t="s">
        <v>27</v>
      </c>
      <c r="B21" s="15" t="s">
        <v>28</v>
      </c>
      <c r="C21" s="16" t="n">
        <v>16995.4454408333</v>
      </c>
      <c r="D21" s="16" t="n">
        <v>0</v>
      </c>
      <c r="E21" s="16" t="n">
        <v>13984.408</v>
      </c>
      <c r="F21" s="16" t="n">
        <v>14481.308967</v>
      </c>
      <c r="G21" s="16" t="n">
        <f aca="false">SUM(C21:F21)</f>
        <v>45461.1624078333</v>
      </c>
    </row>
    <row r="22" customFormat="false" ht="15" hidden="false" customHeight="false" outlineLevel="0" collapsed="false">
      <c r="A22" s="14" t="s">
        <v>29</v>
      </c>
      <c r="B22" s="15" t="s">
        <v>28</v>
      </c>
      <c r="C22" s="16" t="n">
        <v>25493.16816125</v>
      </c>
      <c r="D22" s="16" t="n">
        <v>0</v>
      </c>
      <c r="E22" s="16" t="n">
        <v>23503.606304</v>
      </c>
      <c r="F22" s="16" t="n">
        <v>300</v>
      </c>
      <c r="G22" s="16" t="n">
        <f aca="false">SUM(C22:F22)</f>
        <v>49296.77446525</v>
      </c>
    </row>
    <row r="23" customFormat="false" ht="15" hidden="false" customHeight="false" outlineLevel="0" collapsed="false">
      <c r="A23" s="8" t="s">
        <v>30</v>
      </c>
      <c r="B23" s="9" t="s">
        <v>23</v>
      </c>
      <c r="C23" s="10" t="n">
        <v>8497.72272041667</v>
      </c>
      <c r="D23" s="10" t="n">
        <v>0</v>
      </c>
      <c r="E23" s="10" t="n">
        <v>43929.40078</v>
      </c>
      <c r="F23" s="10" t="n">
        <v>0</v>
      </c>
      <c r="G23" s="10" t="n">
        <f aca="false">SUM(C23:F23)</f>
        <v>52427.1235004167</v>
      </c>
    </row>
    <row r="24" customFormat="false" ht="15" hidden="false" customHeight="false" outlineLevel="0" collapsed="false">
      <c r="A24" s="8" t="s">
        <v>31</v>
      </c>
      <c r="B24" s="9" t="s">
        <v>23</v>
      </c>
      <c r="C24" s="10" t="n">
        <v>0</v>
      </c>
      <c r="D24" s="10" t="n">
        <v>0</v>
      </c>
      <c r="E24" s="10" t="n">
        <v>76527.42357</v>
      </c>
      <c r="F24" s="10" t="n">
        <v>0</v>
      </c>
      <c r="G24" s="10" t="n">
        <f aca="false">SUM(C24:F24)</f>
        <v>76527.42357</v>
      </c>
    </row>
    <row r="25" customFormat="false" ht="15" hidden="false" customHeight="false" outlineLevel="0" collapsed="false">
      <c r="A25" s="14" t="s">
        <v>32</v>
      </c>
      <c r="B25" s="15" t="s">
        <v>28</v>
      </c>
      <c r="C25" s="16" t="n">
        <v>16995.4454408333</v>
      </c>
      <c r="D25" s="16" t="n">
        <v>0</v>
      </c>
      <c r="E25" s="16" t="n">
        <v>8886.1314</v>
      </c>
      <c r="F25" s="16" t="n">
        <v>0</v>
      </c>
      <c r="G25" s="16" t="n">
        <f aca="false">SUM(C25:F25)</f>
        <v>25881.5768408333</v>
      </c>
    </row>
    <row r="26" customFormat="false" ht="15" hidden="false" customHeight="false" outlineLevel="0" collapsed="false">
      <c r="A26" s="14" t="s">
        <v>33</v>
      </c>
      <c r="B26" s="15" t="s">
        <v>28</v>
      </c>
      <c r="C26" s="16" t="n">
        <v>42488.6136020833</v>
      </c>
      <c r="D26" s="16" t="n">
        <v>7200</v>
      </c>
      <c r="E26" s="16" t="n">
        <v>14784.25</v>
      </c>
      <c r="F26" s="16" t="n">
        <v>0</v>
      </c>
      <c r="G26" s="16" t="n">
        <f aca="false">SUM(C26:F26)</f>
        <v>64472.8636020833</v>
      </c>
    </row>
    <row r="27" customFormat="false" ht="15" hidden="false" customHeight="false" outlineLevel="0" collapsed="false">
      <c r="A27" s="14" t="s">
        <v>34</v>
      </c>
      <c r="B27" s="15" t="s">
        <v>28</v>
      </c>
      <c r="C27" s="16" t="n">
        <v>42488.6136020833</v>
      </c>
      <c r="D27" s="16" t="n">
        <v>1996</v>
      </c>
      <c r="E27" s="16" t="n">
        <v>44210.334</v>
      </c>
      <c r="F27" s="16" t="n">
        <v>0</v>
      </c>
      <c r="G27" s="16" t="n">
        <f aca="false">SUM(C27:F27)</f>
        <v>88694.9476020833</v>
      </c>
    </row>
    <row r="28" customFormat="false" ht="15" hidden="false" customHeight="false" outlineLevel="0" collapsed="false">
      <c r="A28" s="11" t="s">
        <v>35</v>
      </c>
      <c r="B28" s="12" t="s">
        <v>25</v>
      </c>
      <c r="C28" s="13" t="n">
        <v>0</v>
      </c>
      <c r="D28" s="13" t="n">
        <v>0</v>
      </c>
      <c r="E28" s="13" t="n">
        <v>6333.55</v>
      </c>
      <c r="F28" s="13" t="n">
        <v>48555.09265</v>
      </c>
      <c r="G28" s="13" t="n">
        <f aca="false">SUM(C28:F28)</f>
        <v>54888.64265</v>
      </c>
    </row>
    <row r="29" customFormat="false" ht="15" hidden="false" customHeight="false" outlineLevel="0" collapsed="false">
      <c r="A29" s="8" t="s">
        <v>36</v>
      </c>
      <c r="B29" s="9" t="s">
        <v>23</v>
      </c>
      <c r="C29" s="10" t="n">
        <v>8497.72272041667</v>
      </c>
      <c r="D29" s="10" t="n">
        <v>0</v>
      </c>
      <c r="E29" s="10" t="n">
        <v>5656.254602</v>
      </c>
      <c r="F29" s="10" t="n">
        <v>0</v>
      </c>
      <c r="G29" s="10" t="n">
        <f aca="false">SUM(C29:F29)</f>
        <v>14153.9773224167</v>
      </c>
    </row>
    <row r="30" customFormat="false" ht="15" hidden="false" customHeight="false" outlineLevel="0" collapsed="false">
      <c r="A30" s="8" t="s">
        <v>37</v>
      </c>
      <c r="B30" s="9" t="s">
        <v>23</v>
      </c>
      <c r="C30" s="10" t="n">
        <v>25493.16816125</v>
      </c>
      <c r="D30" s="10" t="n">
        <v>0</v>
      </c>
      <c r="E30" s="10" t="n">
        <v>0</v>
      </c>
      <c r="F30" s="10" t="n">
        <v>0</v>
      </c>
      <c r="G30" s="10" t="n">
        <f aca="false">SUM(C30:F30)</f>
        <v>25493.16816125</v>
      </c>
    </row>
    <row r="31" customFormat="false" ht="15" hidden="false" customHeight="false" outlineLevel="0" collapsed="false">
      <c r="A31" s="17" t="s">
        <v>38</v>
      </c>
      <c r="B31" s="18"/>
      <c r="C31" s="19" t="n">
        <f aca="false">SUM(C18:C30)</f>
        <v>203945.34529</v>
      </c>
      <c r="D31" s="19" t="n">
        <f aca="false">SUM(D18:D30)</f>
        <v>9196</v>
      </c>
      <c r="E31" s="19" t="n">
        <f aca="false">SUM(E18:E30)</f>
        <v>247164.410466</v>
      </c>
      <c r="F31" s="19" t="n">
        <f aca="false">SUM(F18:F30)</f>
        <v>65161.401617</v>
      </c>
      <c r="G31" s="19" t="n">
        <f aca="false">SUM(G18:G30)</f>
        <v>525467.157373</v>
      </c>
    </row>
    <row r="33" customFormat="false" ht="17.35" hidden="false" customHeight="false" outlineLevel="0" collapsed="false">
      <c r="A33" s="1" t="s">
        <v>39</v>
      </c>
      <c r="B33" s="1"/>
      <c r="C33" s="1"/>
      <c r="D33" s="1"/>
    </row>
    <row r="34" customFormat="false" ht="15" hidden="false" customHeight="false" outlineLevel="0" collapsed="false">
      <c r="A34" s="3" t="s">
        <v>15</v>
      </c>
      <c r="B34" s="3" t="s">
        <v>16</v>
      </c>
      <c r="C34" s="3" t="s">
        <v>21</v>
      </c>
      <c r="D34" s="3" t="s">
        <v>40</v>
      </c>
    </row>
    <row r="35" customFormat="false" ht="15" hidden="false" customHeight="false" outlineLevel="0" collapsed="false">
      <c r="A35" s="8" t="s">
        <v>22</v>
      </c>
      <c r="B35" s="9" t="s">
        <v>23</v>
      </c>
      <c r="C35" s="10" t="n">
        <f aca="false">G18</f>
        <v>16670.5727204167</v>
      </c>
      <c r="D35" s="20" t="n">
        <f aca="false">G18/G31</f>
        <v>0.0317252419804101</v>
      </c>
    </row>
    <row r="36" customFormat="false" ht="15" hidden="false" customHeight="false" outlineLevel="0" collapsed="false">
      <c r="A36" s="11" t="s">
        <v>24</v>
      </c>
      <c r="B36" s="12" t="s">
        <v>25</v>
      </c>
      <c r="C36" s="13" t="n">
        <f aca="false">G19</f>
        <v>1825</v>
      </c>
      <c r="D36" s="21" t="n">
        <f aca="false">G19/G31</f>
        <v>0.00347310002993114</v>
      </c>
    </row>
    <row r="37" customFormat="false" ht="15" hidden="false" customHeight="false" outlineLevel="0" collapsed="false">
      <c r="A37" s="8" t="s">
        <v>26</v>
      </c>
      <c r="B37" s="9" t="s">
        <v>23</v>
      </c>
      <c r="C37" s="10" t="n">
        <f aca="false">G20</f>
        <v>9673.92453041667</v>
      </c>
      <c r="D37" s="20" t="n">
        <f aca="false">G20/G31</f>
        <v>0.0184101411376119</v>
      </c>
    </row>
    <row r="38" customFormat="false" ht="15" hidden="false" customHeight="false" outlineLevel="0" collapsed="false">
      <c r="A38" s="14" t="s">
        <v>27</v>
      </c>
      <c r="B38" s="15" t="s">
        <v>28</v>
      </c>
      <c r="C38" s="16" t="n">
        <f aca="false">G21</f>
        <v>45461.1624078333</v>
      </c>
      <c r="D38" s="22" t="n">
        <f aca="false">G21/G31</f>
        <v>0.0865157065859455</v>
      </c>
    </row>
    <row r="39" customFormat="false" ht="15" hidden="false" customHeight="false" outlineLevel="0" collapsed="false">
      <c r="A39" s="14" t="s">
        <v>29</v>
      </c>
      <c r="B39" s="15" t="s">
        <v>28</v>
      </c>
      <c r="C39" s="16" t="n">
        <f aca="false">G22</f>
        <v>49296.77446525</v>
      </c>
      <c r="D39" s="22" t="n">
        <f aca="false">G22/G31</f>
        <v>0.0938151391072705</v>
      </c>
    </row>
    <row r="40" customFormat="false" ht="15" hidden="false" customHeight="false" outlineLevel="0" collapsed="false">
      <c r="A40" s="8" t="s">
        <v>30</v>
      </c>
      <c r="B40" s="9" t="s">
        <v>23</v>
      </c>
      <c r="C40" s="10" t="n">
        <f aca="false">G23</f>
        <v>52427.1235004167</v>
      </c>
      <c r="D40" s="20" t="n">
        <f aca="false">G23/G31</f>
        <v>0.0997724077800005</v>
      </c>
    </row>
    <row r="41" customFormat="false" ht="15" hidden="false" customHeight="false" outlineLevel="0" collapsed="false">
      <c r="A41" s="8" t="s">
        <v>31</v>
      </c>
      <c r="B41" s="9" t="s">
        <v>23</v>
      </c>
      <c r="C41" s="10" t="n">
        <f aca="false">G24</f>
        <v>76527.42357</v>
      </c>
      <c r="D41" s="20" t="n">
        <f aca="false">G24/G31</f>
        <v>0.145636929913162</v>
      </c>
    </row>
    <row r="42" customFormat="false" ht="15" hidden="false" customHeight="false" outlineLevel="0" collapsed="false">
      <c r="A42" s="14" t="s">
        <v>32</v>
      </c>
      <c r="B42" s="15" t="s">
        <v>28</v>
      </c>
      <c r="C42" s="16" t="n">
        <f aca="false">G25</f>
        <v>25881.5768408333</v>
      </c>
      <c r="D42" s="22" t="n">
        <f aca="false">G25/G31</f>
        <v>0.0492544138633224</v>
      </c>
    </row>
    <row r="43" customFormat="false" ht="15" hidden="false" customHeight="false" outlineLevel="0" collapsed="false">
      <c r="A43" s="14" t="s">
        <v>33</v>
      </c>
      <c r="B43" s="15" t="s">
        <v>28</v>
      </c>
      <c r="C43" s="16" t="n">
        <f aca="false">G26</f>
        <v>64472.8636020833</v>
      </c>
      <c r="D43" s="22" t="n">
        <f aca="false">G26/G31</f>
        <v>0.122696276441722</v>
      </c>
    </row>
    <row r="44" customFormat="false" ht="15" hidden="false" customHeight="false" outlineLevel="0" collapsed="false">
      <c r="A44" s="14" t="s">
        <v>34</v>
      </c>
      <c r="B44" s="15" t="s">
        <v>28</v>
      </c>
      <c r="C44" s="16" t="n">
        <f aca="false">G27</f>
        <v>88694.9476020833</v>
      </c>
      <c r="D44" s="22" t="n">
        <f aca="false">G27/G31</f>
        <v>0.168792561737828</v>
      </c>
    </row>
    <row r="45" customFormat="false" ht="15" hidden="false" customHeight="false" outlineLevel="0" collapsed="false">
      <c r="A45" s="11" t="s">
        <v>35</v>
      </c>
      <c r="B45" s="12" t="s">
        <v>25</v>
      </c>
      <c r="C45" s="13" t="n">
        <f aca="false">G28</f>
        <v>54888.64265</v>
      </c>
      <c r="D45" s="21" t="n">
        <f aca="false">G28/G31</f>
        <v>0.10445684735923</v>
      </c>
    </row>
    <row r="46" customFormat="false" ht="15" hidden="false" customHeight="false" outlineLevel="0" collapsed="false">
      <c r="A46" s="8" t="s">
        <v>36</v>
      </c>
      <c r="B46" s="9" t="s">
        <v>23</v>
      </c>
      <c r="C46" s="10" t="n">
        <f aca="false">G29</f>
        <v>14153.9773224167</v>
      </c>
      <c r="D46" s="20" t="n">
        <f aca="false">G29/G31</f>
        <v>0.0269359885271946</v>
      </c>
    </row>
    <row r="47" customFormat="false" ht="15" hidden="false" customHeight="false" outlineLevel="0" collapsed="false">
      <c r="A47" s="8" t="s">
        <v>37</v>
      </c>
      <c r="B47" s="9" t="s">
        <v>23</v>
      </c>
      <c r="C47" s="10" t="n">
        <f aca="false">G30</f>
        <v>25493.16816125</v>
      </c>
      <c r="D47" s="20" t="n">
        <f aca="false">G30/G31</f>
        <v>0.048515245536371</v>
      </c>
    </row>
    <row r="48" customFormat="false" ht="15" hidden="false" customHeight="false" outlineLevel="0" collapsed="false">
      <c r="A48" s="17" t="s">
        <v>38</v>
      </c>
      <c r="B48" s="17"/>
      <c r="C48" s="19" t="n">
        <f aca="false">SUM(C35:C47)</f>
        <v>525467.157373</v>
      </c>
      <c r="D48" s="23" t="n">
        <f aca="false">SUM(D35:D47)</f>
        <v>1</v>
      </c>
    </row>
  </sheetData>
  <mergeCells count="5">
    <mergeCell ref="A1:G1"/>
    <mergeCell ref="A2:G2"/>
    <mergeCell ref="A3:G3"/>
    <mergeCell ref="A16:G16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24" t="s">
        <v>41</v>
      </c>
      <c r="B1" s="24"/>
      <c r="C1" s="24"/>
      <c r="D1" s="24"/>
      <c r="E1" s="24"/>
      <c r="F1" s="24"/>
      <c r="G1" s="24"/>
      <c r="H1" s="24"/>
    </row>
    <row r="3" customFormat="false" ht="15" hidden="false" customHeight="false" outlineLevel="0" collapsed="false">
      <c r="A3" s="25" t="s">
        <v>42</v>
      </c>
      <c r="B3" s="25" t="s">
        <v>43</v>
      </c>
      <c r="C3" s="25" t="s">
        <v>44</v>
      </c>
      <c r="D3" s="25" t="s">
        <v>45</v>
      </c>
      <c r="E3" s="25" t="s">
        <v>16</v>
      </c>
      <c r="F3" s="25" t="s">
        <v>46</v>
      </c>
      <c r="G3" s="25" t="s">
        <v>47</v>
      </c>
      <c r="H3" s="25" t="s">
        <v>48</v>
      </c>
    </row>
    <row r="4" customFormat="false" ht="15" hidden="false" customHeight="false" outlineLevel="0" collapsed="false">
      <c r="A4" s="26" t="n">
        <v>1</v>
      </c>
      <c r="B4" s="27" t="s">
        <v>49</v>
      </c>
      <c r="C4" s="26" t="s">
        <v>33</v>
      </c>
      <c r="D4" s="26" t="s">
        <v>50</v>
      </c>
      <c r="E4" s="26" t="s">
        <v>51</v>
      </c>
      <c r="F4" s="26" t="s">
        <v>52</v>
      </c>
      <c r="G4" s="27" t="s">
        <v>53</v>
      </c>
      <c r="H4" s="28" t="n">
        <f aca="false">$B$31/$B$32</f>
        <v>8497.72272041667</v>
      </c>
    </row>
    <row r="5" customFormat="false" ht="15" hidden="false" customHeight="false" outlineLevel="0" collapsed="false">
      <c r="A5" s="26" t="n">
        <v>2</v>
      </c>
      <c r="B5" s="27" t="s">
        <v>54</v>
      </c>
      <c r="C5" s="26" t="s">
        <v>34</v>
      </c>
      <c r="D5" s="26" t="s">
        <v>50</v>
      </c>
      <c r="E5" s="26" t="s">
        <v>51</v>
      </c>
      <c r="F5" s="26" t="s">
        <v>55</v>
      </c>
      <c r="G5" s="27" t="s">
        <v>56</v>
      </c>
      <c r="H5" s="28" t="n">
        <f aca="false">$B$31/$B$32</f>
        <v>8497.72272041667</v>
      </c>
    </row>
    <row r="6" customFormat="false" ht="15" hidden="false" customHeight="false" outlineLevel="0" collapsed="false">
      <c r="A6" s="29" t="n">
        <v>3</v>
      </c>
      <c r="B6" s="30" t="s">
        <v>57</v>
      </c>
      <c r="C6" s="29" t="s">
        <v>30</v>
      </c>
      <c r="D6" s="29" t="s">
        <v>58</v>
      </c>
      <c r="E6" s="29" t="s">
        <v>51</v>
      </c>
      <c r="F6" s="29" t="s">
        <v>52</v>
      </c>
      <c r="G6" s="30" t="s">
        <v>59</v>
      </c>
      <c r="H6" s="31" t="n">
        <f aca="false">$B$31/$B$32</f>
        <v>8497.72272041667</v>
      </c>
    </row>
    <row r="7" customFormat="false" ht="15" hidden="false" customHeight="false" outlineLevel="0" collapsed="false">
      <c r="A7" s="26" t="n">
        <v>4</v>
      </c>
      <c r="B7" s="27" t="s">
        <v>60</v>
      </c>
      <c r="C7" s="26" t="s">
        <v>33</v>
      </c>
      <c r="D7" s="26" t="s">
        <v>50</v>
      </c>
      <c r="E7" s="26" t="s">
        <v>51</v>
      </c>
      <c r="F7" s="26" t="s">
        <v>52</v>
      </c>
      <c r="G7" s="27" t="s">
        <v>61</v>
      </c>
      <c r="H7" s="28" t="n">
        <f aca="false">$B$31/$B$32</f>
        <v>8497.72272041667</v>
      </c>
    </row>
    <row r="8" customFormat="false" ht="15" hidden="false" customHeight="false" outlineLevel="0" collapsed="false">
      <c r="A8" s="26" t="n">
        <v>5</v>
      </c>
      <c r="B8" s="27" t="s">
        <v>62</v>
      </c>
      <c r="C8" s="26" t="s">
        <v>32</v>
      </c>
      <c r="D8" s="26" t="s">
        <v>58</v>
      </c>
      <c r="E8" s="26" t="s">
        <v>51</v>
      </c>
      <c r="F8" s="26" t="s">
        <v>52</v>
      </c>
      <c r="G8" s="27" t="s">
        <v>61</v>
      </c>
      <c r="H8" s="28" t="n">
        <f aca="false">$B$31/$B$32</f>
        <v>8497.72272041667</v>
      </c>
    </row>
    <row r="9" customFormat="false" ht="15" hidden="false" customHeight="false" outlineLevel="0" collapsed="false">
      <c r="A9" s="26" t="n">
        <v>6</v>
      </c>
      <c r="B9" s="27" t="s">
        <v>63</v>
      </c>
      <c r="C9" s="26" t="s">
        <v>27</v>
      </c>
      <c r="D9" s="26" t="s">
        <v>58</v>
      </c>
      <c r="E9" s="26" t="s">
        <v>51</v>
      </c>
      <c r="F9" s="26" t="s">
        <v>52</v>
      </c>
      <c r="G9" s="27" t="s">
        <v>64</v>
      </c>
      <c r="H9" s="28" t="n">
        <f aca="false">$B$31/$B$32</f>
        <v>8497.72272041667</v>
      </c>
    </row>
    <row r="10" customFormat="false" ht="15" hidden="false" customHeight="false" outlineLevel="0" collapsed="false">
      <c r="A10" s="26" t="n">
        <v>7</v>
      </c>
      <c r="B10" s="27" t="s">
        <v>65</v>
      </c>
      <c r="C10" s="26" t="s">
        <v>33</v>
      </c>
      <c r="D10" s="26" t="s">
        <v>50</v>
      </c>
      <c r="E10" s="26" t="s">
        <v>51</v>
      </c>
      <c r="F10" s="26" t="s">
        <v>52</v>
      </c>
      <c r="G10" s="27" t="s">
        <v>66</v>
      </c>
      <c r="H10" s="28" t="n">
        <f aca="false">$B$31/$B$32</f>
        <v>8497.72272041667</v>
      </c>
    </row>
    <row r="11" customFormat="false" ht="15" hidden="false" customHeight="false" outlineLevel="0" collapsed="false">
      <c r="A11" s="29" t="n">
        <v>8</v>
      </c>
      <c r="B11" s="30" t="s">
        <v>67</v>
      </c>
      <c r="C11" s="29" t="s">
        <v>37</v>
      </c>
      <c r="D11" s="29" t="s">
        <v>58</v>
      </c>
      <c r="E11" s="29" t="s">
        <v>51</v>
      </c>
      <c r="F11" s="29" t="s">
        <v>68</v>
      </c>
      <c r="G11" s="30" t="s">
        <v>69</v>
      </c>
      <c r="H11" s="31" t="n">
        <f aca="false">$B$31/$B$32</f>
        <v>8497.72272041667</v>
      </c>
    </row>
    <row r="12" customFormat="false" ht="15" hidden="false" customHeight="false" outlineLevel="0" collapsed="false">
      <c r="A12" s="29" t="n">
        <v>9</v>
      </c>
      <c r="B12" s="30" t="s">
        <v>70</v>
      </c>
      <c r="C12" s="29" t="s">
        <v>37</v>
      </c>
      <c r="D12" s="29" t="s">
        <v>58</v>
      </c>
      <c r="E12" s="29" t="s">
        <v>51</v>
      </c>
      <c r="F12" s="29" t="s">
        <v>68</v>
      </c>
      <c r="G12" s="30" t="s">
        <v>69</v>
      </c>
      <c r="H12" s="31" t="n">
        <f aca="false">$B$31/$B$32</f>
        <v>8497.72272041667</v>
      </c>
    </row>
    <row r="13" customFormat="false" ht="15" hidden="false" customHeight="false" outlineLevel="0" collapsed="false">
      <c r="A13" s="29" t="n">
        <v>10</v>
      </c>
      <c r="B13" s="30" t="s">
        <v>71</v>
      </c>
      <c r="C13" s="29" t="s">
        <v>37</v>
      </c>
      <c r="D13" s="29" t="s">
        <v>50</v>
      </c>
      <c r="E13" s="29" t="s">
        <v>51</v>
      </c>
      <c r="F13" s="29" t="s">
        <v>68</v>
      </c>
      <c r="G13" s="30" t="s">
        <v>69</v>
      </c>
      <c r="H13" s="31" t="n">
        <f aca="false">$B$31/$B$32</f>
        <v>8497.72272041667</v>
      </c>
    </row>
    <row r="14" customFormat="false" ht="15" hidden="false" customHeight="false" outlineLevel="0" collapsed="false">
      <c r="A14" s="26" t="n">
        <v>11</v>
      </c>
      <c r="B14" s="27" t="s">
        <v>72</v>
      </c>
      <c r="C14" s="26" t="s">
        <v>34</v>
      </c>
      <c r="D14" s="26" t="s">
        <v>50</v>
      </c>
      <c r="E14" s="26" t="s">
        <v>51</v>
      </c>
      <c r="F14" s="26" t="s">
        <v>52</v>
      </c>
      <c r="G14" s="27" t="s">
        <v>61</v>
      </c>
      <c r="H14" s="28" t="n">
        <f aca="false">$B$31/$B$32</f>
        <v>8497.72272041667</v>
      </c>
    </row>
    <row r="15" customFormat="false" ht="15" hidden="false" customHeight="false" outlineLevel="0" collapsed="false">
      <c r="A15" s="29" t="n">
        <v>12</v>
      </c>
      <c r="B15" s="30" t="s">
        <v>73</v>
      </c>
      <c r="C15" s="29" t="s">
        <v>26</v>
      </c>
      <c r="D15" s="29" t="s">
        <v>58</v>
      </c>
      <c r="E15" s="29" t="s">
        <v>51</v>
      </c>
      <c r="F15" s="29" t="s">
        <v>52</v>
      </c>
      <c r="G15" s="30" t="s">
        <v>61</v>
      </c>
      <c r="H15" s="31" t="n">
        <f aca="false">$B$31/$B$32</f>
        <v>8497.72272041667</v>
      </c>
    </row>
    <row r="16" customFormat="false" ht="15" hidden="false" customHeight="false" outlineLevel="0" collapsed="false">
      <c r="A16" s="29" t="n">
        <v>13</v>
      </c>
      <c r="B16" s="30" t="s">
        <v>74</v>
      </c>
      <c r="C16" s="29" t="s">
        <v>22</v>
      </c>
      <c r="D16" s="29" t="s">
        <v>58</v>
      </c>
      <c r="E16" s="29" t="s">
        <v>51</v>
      </c>
      <c r="F16" s="29" t="s">
        <v>52</v>
      </c>
      <c r="G16" s="30" t="s">
        <v>59</v>
      </c>
      <c r="H16" s="31" t="n">
        <f aca="false">$B$31/$B$32</f>
        <v>8497.72272041667</v>
      </c>
    </row>
    <row r="17" customFormat="false" ht="15" hidden="false" customHeight="false" outlineLevel="0" collapsed="false">
      <c r="A17" s="26" t="n">
        <v>14</v>
      </c>
      <c r="B17" s="27" t="s">
        <v>75</v>
      </c>
      <c r="C17" s="26" t="s">
        <v>27</v>
      </c>
      <c r="D17" s="26" t="s">
        <v>58</v>
      </c>
      <c r="E17" s="26" t="s">
        <v>51</v>
      </c>
      <c r="F17" s="26" t="s">
        <v>68</v>
      </c>
      <c r="G17" s="27" t="s">
        <v>64</v>
      </c>
      <c r="H17" s="28" t="n">
        <f aca="false">$B$31/$B$32</f>
        <v>8497.72272041667</v>
      </c>
    </row>
    <row r="18" customFormat="false" ht="15" hidden="false" customHeight="false" outlineLevel="0" collapsed="false">
      <c r="A18" s="29" t="n">
        <v>15</v>
      </c>
      <c r="B18" s="30" t="s">
        <v>76</v>
      </c>
      <c r="C18" s="29" t="s">
        <v>36</v>
      </c>
      <c r="D18" s="29" t="s">
        <v>58</v>
      </c>
      <c r="E18" s="29" t="s">
        <v>51</v>
      </c>
      <c r="F18" s="29" t="s">
        <v>52</v>
      </c>
      <c r="G18" s="30" t="s">
        <v>61</v>
      </c>
      <c r="H18" s="31" t="n">
        <f aca="false">$B$31/$B$32</f>
        <v>8497.72272041667</v>
      </c>
    </row>
    <row r="19" customFormat="false" ht="15" hidden="false" customHeight="false" outlineLevel="0" collapsed="false">
      <c r="A19" s="26" t="n">
        <v>16</v>
      </c>
      <c r="B19" s="27" t="s">
        <v>77</v>
      </c>
      <c r="C19" s="26" t="s">
        <v>34</v>
      </c>
      <c r="D19" s="26" t="s">
        <v>58</v>
      </c>
      <c r="E19" s="26" t="s">
        <v>51</v>
      </c>
      <c r="F19" s="26" t="s">
        <v>52</v>
      </c>
      <c r="G19" s="27" t="s">
        <v>56</v>
      </c>
      <c r="H19" s="28" t="n">
        <f aca="false">$B$31/$B$32</f>
        <v>8497.72272041667</v>
      </c>
    </row>
    <row r="20" customFormat="false" ht="15" hidden="false" customHeight="false" outlineLevel="0" collapsed="false">
      <c r="A20" s="26" t="n">
        <v>17</v>
      </c>
      <c r="B20" s="27" t="s">
        <v>78</v>
      </c>
      <c r="C20" s="26" t="s">
        <v>33</v>
      </c>
      <c r="D20" s="26" t="s">
        <v>50</v>
      </c>
      <c r="E20" s="26" t="s">
        <v>51</v>
      </c>
      <c r="F20" s="26" t="s">
        <v>52</v>
      </c>
      <c r="G20" s="27" t="s">
        <v>66</v>
      </c>
      <c r="H20" s="28" t="n">
        <f aca="false">$B$31/$B$32</f>
        <v>8497.72272041667</v>
      </c>
    </row>
    <row r="21" customFormat="false" ht="15" hidden="false" customHeight="false" outlineLevel="0" collapsed="false">
      <c r="A21" s="26" t="n">
        <v>18</v>
      </c>
      <c r="B21" s="27" t="s">
        <v>79</v>
      </c>
      <c r="C21" s="26" t="s">
        <v>34</v>
      </c>
      <c r="D21" s="26" t="s">
        <v>50</v>
      </c>
      <c r="E21" s="26" t="s">
        <v>51</v>
      </c>
      <c r="F21" s="26" t="s">
        <v>52</v>
      </c>
      <c r="G21" s="27" t="s">
        <v>80</v>
      </c>
      <c r="H21" s="28" t="n">
        <f aca="false">$B$31/$B$32</f>
        <v>8497.72272041667</v>
      </c>
    </row>
    <row r="22" customFormat="false" ht="15" hidden="false" customHeight="false" outlineLevel="0" collapsed="false">
      <c r="A22" s="26" t="n">
        <v>19</v>
      </c>
      <c r="B22" s="27" t="s">
        <v>81</v>
      </c>
      <c r="C22" s="26" t="s">
        <v>29</v>
      </c>
      <c r="D22" s="26" t="s">
        <v>50</v>
      </c>
      <c r="E22" s="26" t="s">
        <v>51</v>
      </c>
      <c r="F22" s="26" t="s">
        <v>52</v>
      </c>
      <c r="G22" s="27" t="s">
        <v>61</v>
      </c>
      <c r="H22" s="28" t="n">
        <f aca="false">$B$31/$B$32</f>
        <v>8497.72272041667</v>
      </c>
    </row>
    <row r="23" customFormat="false" ht="15" hidden="false" customHeight="false" outlineLevel="0" collapsed="false">
      <c r="A23" s="26" t="n">
        <v>20</v>
      </c>
      <c r="B23" s="27" t="s">
        <v>82</v>
      </c>
      <c r="C23" s="26" t="s">
        <v>33</v>
      </c>
      <c r="D23" s="26" t="s">
        <v>50</v>
      </c>
      <c r="E23" s="26" t="s">
        <v>51</v>
      </c>
      <c r="F23" s="26" t="s">
        <v>52</v>
      </c>
      <c r="G23" s="27" t="s">
        <v>66</v>
      </c>
      <c r="H23" s="28" t="n">
        <f aca="false">$B$31/$B$32</f>
        <v>8497.72272041667</v>
      </c>
    </row>
    <row r="24" customFormat="false" ht="15" hidden="false" customHeight="false" outlineLevel="0" collapsed="false">
      <c r="A24" s="26" t="n">
        <v>21</v>
      </c>
      <c r="B24" s="27" t="s">
        <v>83</v>
      </c>
      <c r="C24" s="26" t="s">
        <v>29</v>
      </c>
      <c r="D24" s="26" t="s">
        <v>50</v>
      </c>
      <c r="E24" s="26" t="s">
        <v>51</v>
      </c>
      <c r="F24" s="26" t="s">
        <v>52</v>
      </c>
      <c r="G24" s="27" t="s">
        <v>61</v>
      </c>
      <c r="H24" s="28" t="n">
        <f aca="false">$B$31/$B$32</f>
        <v>8497.72272041667</v>
      </c>
    </row>
    <row r="25" customFormat="false" ht="15" hidden="false" customHeight="false" outlineLevel="0" collapsed="false">
      <c r="A25" s="26" t="n">
        <v>22</v>
      </c>
      <c r="B25" s="27" t="s">
        <v>84</v>
      </c>
      <c r="C25" s="26" t="s">
        <v>29</v>
      </c>
      <c r="D25" s="26" t="s">
        <v>50</v>
      </c>
      <c r="E25" s="26" t="s">
        <v>51</v>
      </c>
      <c r="F25" s="26" t="s">
        <v>52</v>
      </c>
      <c r="G25" s="27" t="s">
        <v>61</v>
      </c>
      <c r="H25" s="28" t="n">
        <f aca="false">$B$31/$B$32</f>
        <v>8497.72272041667</v>
      </c>
    </row>
    <row r="26" customFormat="false" ht="15" hidden="false" customHeight="false" outlineLevel="0" collapsed="false">
      <c r="A26" s="26" t="n">
        <v>23</v>
      </c>
      <c r="B26" s="27" t="s">
        <v>85</v>
      </c>
      <c r="C26" s="26" t="s">
        <v>34</v>
      </c>
      <c r="D26" s="26" t="s">
        <v>58</v>
      </c>
      <c r="E26" s="26" t="s">
        <v>51</v>
      </c>
      <c r="F26" s="26" t="s">
        <v>68</v>
      </c>
      <c r="G26" s="27" t="s">
        <v>86</v>
      </c>
      <c r="H26" s="28" t="n">
        <f aca="false">$B$31/$B$32</f>
        <v>8497.72272041667</v>
      </c>
    </row>
    <row r="27" customFormat="false" ht="15" hidden="false" customHeight="false" outlineLevel="0" collapsed="false">
      <c r="A27" s="26" t="n">
        <v>24</v>
      </c>
      <c r="B27" s="27" t="s">
        <v>87</v>
      </c>
      <c r="C27" s="26" t="s">
        <v>32</v>
      </c>
      <c r="D27" s="26" t="s">
        <v>50</v>
      </c>
      <c r="E27" s="26" t="s">
        <v>51</v>
      </c>
      <c r="F27" s="26" t="s">
        <v>52</v>
      </c>
      <c r="G27" s="27" t="s">
        <v>88</v>
      </c>
      <c r="H27" s="28" t="n">
        <f aca="false">$B$31/$B$32</f>
        <v>8497.72272041667</v>
      </c>
    </row>
    <row r="28" customFormat="false" ht="15" hidden="false" customHeight="false" outlineLevel="0" collapsed="false">
      <c r="A28" s="32" t="s">
        <v>38</v>
      </c>
      <c r="B28" s="32"/>
      <c r="C28" s="32"/>
      <c r="D28" s="32"/>
      <c r="E28" s="32"/>
      <c r="F28" s="32"/>
      <c r="G28" s="32"/>
      <c r="H28" s="33" t="n">
        <f aca="false">SUM(H4:H27)</f>
        <v>203945.34529</v>
      </c>
    </row>
    <row r="31" customFormat="false" ht="15" hidden="false" customHeight="false" outlineLevel="0" collapsed="false">
      <c r="A31" s="34" t="s">
        <v>89</v>
      </c>
      <c r="B31" s="35" t="n">
        <v>203945.34529</v>
      </c>
    </row>
    <row r="32" customFormat="false" ht="15" hidden="false" customHeight="false" outlineLevel="0" collapsed="false">
      <c r="A32" s="34" t="s">
        <v>90</v>
      </c>
      <c r="B32" s="36" t="n">
        <v>24</v>
      </c>
    </row>
    <row r="33" customFormat="false" ht="15" hidden="false" customHeight="false" outlineLevel="0" collapsed="false">
      <c r="A33" s="37" t="s">
        <v>91</v>
      </c>
    </row>
  </sheetData>
  <mergeCells count="2">
    <mergeCell ref="A1:H1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24" t="s">
        <v>92</v>
      </c>
      <c r="B1" s="24"/>
      <c r="C1" s="24"/>
      <c r="D1" s="24"/>
      <c r="E1" s="24"/>
      <c r="F1" s="24"/>
      <c r="G1" s="24"/>
    </row>
    <row r="3" customFormat="false" ht="15" hidden="false" customHeight="false" outlineLevel="0" collapsed="false">
      <c r="A3" s="25" t="s">
        <v>42</v>
      </c>
      <c r="B3" s="25" t="s">
        <v>43</v>
      </c>
      <c r="C3" s="25" t="s">
        <v>44</v>
      </c>
      <c r="D3" s="25" t="s">
        <v>93</v>
      </c>
      <c r="E3" s="25" t="s">
        <v>47</v>
      </c>
      <c r="F3" s="25" t="s">
        <v>94</v>
      </c>
      <c r="G3" s="25" t="s">
        <v>95</v>
      </c>
    </row>
    <row r="4" customFormat="false" ht="15" hidden="false" customHeight="false" outlineLevel="0" collapsed="false">
      <c r="A4" s="26" t="n">
        <v>1</v>
      </c>
      <c r="B4" s="27" t="s">
        <v>96</v>
      </c>
      <c r="C4" s="26" t="s">
        <v>34</v>
      </c>
      <c r="D4" s="38" t="s">
        <v>97</v>
      </c>
      <c r="E4" s="27" t="s">
        <v>98</v>
      </c>
      <c r="F4" s="28" t="n">
        <v>0</v>
      </c>
      <c r="G4" s="28" t="n">
        <v>0</v>
      </c>
    </row>
    <row r="5" customFormat="false" ht="15" hidden="false" customHeight="false" outlineLevel="0" collapsed="false">
      <c r="A5" s="26" t="n">
        <v>2</v>
      </c>
      <c r="B5" s="27" t="s">
        <v>99</v>
      </c>
      <c r="C5" s="26" t="s">
        <v>32</v>
      </c>
      <c r="D5" s="38" t="s">
        <v>97</v>
      </c>
      <c r="E5" s="27" t="s">
        <v>100</v>
      </c>
      <c r="F5" s="28" t="n">
        <v>0</v>
      </c>
      <c r="G5" s="28" t="n">
        <v>0</v>
      </c>
    </row>
    <row r="6" customFormat="false" ht="15" hidden="false" customHeight="false" outlineLevel="0" collapsed="false">
      <c r="A6" s="39" t="n">
        <v>3</v>
      </c>
      <c r="B6" s="40" t="s">
        <v>101</v>
      </c>
      <c r="C6" s="39" t="s">
        <v>102</v>
      </c>
      <c r="D6" s="38" t="s">
        <v>97</v>
      </c>
      <c r="E6" s="40" t="s">
        <v>61</v>
      </c>
      <c r="F6" s="41" t="n">
        <v>0</v>
      </c>
      <c r="G6" s="41" t="n">
        <v>0</v>
      </c>
    </row>
    <row r="7" customFormat="false" ht="15" hidden="false" customHeight="false" outlineLevel="0" collapsed="false">
      <c r="A7" s="26" t="n">
        <v>4</v>
      </c>
      <c r="B7" s="27" t="s">
        <v>103</v>
      </c>
      <c r="C7" s="26" t="s">
        <v>32</v>
      </c>
      <c r="D7" s="42" t="s">
        <v>51</v>
      </c>
      <c r="E7" s="27" t="s">
        <v>100</v>
      </c>
      <c r="F7" s="28" t="n">
        <v>0</v>
      </c>
      <c r="G7" s="28" t="n">
        <v>0</v>
      </c>
    </row>
    <row r="8" customFormat="false" ht="15" hidden="false" customHeight="false" outlineLevel="0" collapsed="false">
      <c r="A8" s="26" t="n">
        <v>5</v>
      </c>
      <c r="B8" s="27" t="s">
        <v>104</v>
      </c>
      <c r="C8" s="26" t="s">
        <v>34</v>
      </c>
      <c r="D8" s="42" t="s">
        <v>51</v>
      </c>
      <c r="E8" s="27" t="s">
        <v>98</v>
      </c>
      <c r="F8" s="28" t="n">
        <v>0</v>
      </c>
      <c r="G8" s="28" t="n">
        <v>0</v>
      </c>
    </row>
    <row r="9" customFormat="false" ht="15" hidden="false" customHeight="false" outlineLevel="0" collapsed="false">
      <c r="A9" s="26" t="n">
        <v>6</v>
      </c>
      <c r="B9" s="27" t="s">
        <v>105</v>
      </c>
      <c r="C9" s="26" t="s">
        <v>34</v>
      </c>
      <c r="D9" s="38" t="s">
        <v>97</v>
      </c>
      <c r="E9" s="27" t="s">
        <v>98</v>
      </c>
      <c r="F9" s="28" t="n">
        <v>0</v>
      </c>
      <c r="G9" s="28" t="n">
        <v>0</v>
      </c>
    </row>
    <row r="10" customFormat="false" ht="15" hidden="false" customHeight="false" outlineLevel="0" collapsed="false">
      <c r="A10" s="26" t="n">
        <v>7</v>
      </c>
      <c r="B10" s="27" t="s">
        <v>106</v>
      </c>
      <c r="C10" s="26" t="s">
        <v>33</v>
      </c>
      <c r="D10" s="42" t="s">
        <v>51</v>
      </c>
      <c r="E10" s="27" t="s">
        <v>53</v>
      </c>
      <c r="F10" s="28" t="n">
        <v>7200</v>
      </c>
      <c r="G10" s="28" t="n">
        <v>2400</v>
      </c>
    </row>
    <row r="11" customFormat="false" ht="15" hidden="false" customHeight="false" outlineLevel="0" collapsed="false">
      <c r="A11" s="26" t="n">
        <v>10</v>
      </c>
      <c r="B11" s="27" t="s">
        <v>107</v>
      </c>
      <c r="C11" s="26" t="s">
        <v>34</v>
      </c>
      <c r="D11" s="42" t="s">
        <v>51</v>
      </c>
      <c r="E11" s="27" t="s">
        <v>98</v>
      </c>
      <c r="F11" s="28" t="n">
        <v>0</v>
      </c>
      <c r="G11" s="28" t="n">
        <v>0</v>
      </c>
    </row>
    <row r="12" customFormat="false" ht="15" hidden="false" customHeight="false" outlineLevel="0" collapsed="false">
      <c r="A12" s="26" t="n">
        <v>11</v>
      </c>
      <c r="B12" s="27" t="s">
        <v>108</v>
      </c>
      <c r="C12" s="26" t="s">
        <v>34</v>
      </c>
      <c r="D12" s="42" t="s">
        <v>51</v>
      </c>
      <c r="E12" s="27" t="s">
        <v>98</v>
      </c>
      <c r="F12" s="28" t="n">
        <v>0</v>
      </c>
      <c r="G12" s="28" t="n">
        <v>0</v>
      </c>
    </row>
    <row r="13" customFormat="false" ht="15" hidden="false" customHeight="false" outlineLevel="0" collapsed="false">
      <c r="A13" s="26" t="n">
        <v>12</v>
      </c>
      <c r="B13" s="27" t="s">
        <v>109</v>
      </c>
      <c r="C13" s="26" t="s">
        <v>34</v>
      </c>
      <c r="D13" s="42" t="s">
        <v>51</v>
      </c>
      <c r="E13" s="27" t="s">
        <v>98</v>
      </c>
      <c r="F13" s="28" t="n">
        <v>0</v>
      </c>
      <c r="G13" s="28" t="n">
        <v>0</v>
      </c>
    </row>
    <row r="14" customFormat="false" ht="15" hidden="false" customHeight="false" outlineLevel="0" collapsed="false">
      <c r="A14" s="26" t="n">
        <v>13</v>
      </c>
      <c r="B14" s="27" t="s">
        <v>110</v>
      </c>
      <c r="C14" s="26" t="s">
        <v>34</v>
      </c>
      <c r="D14" s="38" t="s">
        <v>97</v>
      </c>
      <c r="E14" s="27" t="s">
        <v>98</v>
      </c>
      <c r="F14" s="28" t="n">
        <v>0</v>
      </c>
      <c r="G14" s="28" t="n">
        <v>0</v>
      </c>
    </row>
    <row r="15" customFormat="false" ht="15" hidden="false" customHeight="false" outlineLevel="0" collapsed="false">
      <c r="A15" s="26" t="n">
        <v>14</v>
      </c>
      <c r="B15" s="27" t="s">
        <v>111</v>
      </c>
      <c r="C15" s="26" t="s">
        <v>27</v>
      </c>
      <c r="D15" s="42" t="s">
        <v>51</v>
      </c>
      <c r="E15" s="27" t="s">
        <v>64</v>
      </c>
      <c r="F15" s="28" t="n">
        <v>0</v>
      </c>
      <c r="G15" s="28" t="n">
        <v>0</v>
      </c>
    </row>
    <row r="16" customFormat="false" ht="15" hidden="false" customHeight="false" outlineLevel="0" collapsed="false">
      <c r="A16" s="26" t="n">
        <v>15</v>
      </c>
      <c r="B16" s="27" t="s">
        <v>112</v>
      </c>
      <c r="C16" s="26" t="s">
        <v>34</v>
      </c>
      <c r="D16" s="42" t="s">
        <v>51</v>
      </c>
      <c r="E16" s="27" t="s">
        <v>98</v>
      </c>
      <c r="F16" s="28" t="n">
        <v>1996</v>
      </c>
      <c r="G16" s="28" t="n">
        <v>665.333333333333</v>
      </c>
    </row>
    <row r="17" customFormat="false" ht="15" hidden="false" customHeight="false" outlineLevel="0" collapsed="false">
      <c r="A17" s="32" t="s">
        <v>113</v>
      </c>
      <c r="B17" s="32"/>
      <c r="C17" s="32"/>
      <c r="D17" s="32"/>
      <c r="E17" s="32"/>
      <c r="F17" s="43" t="n">
        <f aca="false">SUM(F4:F16)</f>
        <v>9196</v>
      </c>
      <c r="G17" s="43" t="n">
        <f aca="false">SUM(G4:G16)</f>
        <v>3065.33333333333</v>
      </c>
    </row>
    <row r="19" customFormat="false" ht="15" hidden="false" customHeight="false" outlineLevel="0" collapsed="false">
      <c r="A19" s="44" t="s">
        <v>114</v>
      </c>
      <c r="B19" s="44"/>
      <c r="C19" s="44"/>
      <c r="D19" s="44"/>
      <c r="E19" s="44"/>
      <c r="F19" s="44"/>
      <c r="G19" s="44"/>
    </row>
    <row r="20" customFormat="false" ht="15" hidden="false" customHeight="false" outlineLevel="0" collapsed="false">
      <c r="A20" s="44" t="s">
        <v>115</v>
      </c>
      <c r="B20" s="44"/>
      <c r="C20" s="44"/>
      <c r="D20" s="44"/>
      <c r="E20" s="44"/>
      <c r="F20" s="44"/>
      <c r="G20" s="44"/>
    </row>
  </sheetData>
  <mergeCells count="4">
    <mergeCell ref="A1:G1"/>
    <mergeCell ref="A17:E17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24" t="s">
        <v>116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25" t="s">
        <v>117</v>
      </c>
      <c r="B3" s="25" t="s">
        <v>45</v>
      </c>
      <c r="C3" s="25" t="s">
        <v>118</v>
      </c>
      <c r="D3" s="25" t="s">
        <v>119</v>
      </c>
      <c r="E3" s="25" t="s">
        <v>120</v>
      </c>
      <c r="F3" s="25" t="s">
        <v>121</v>
      </c>
    </row>
    <row r="4" customFormat="false" ht="15" hidden="false" customHeight="false" outlineLevel="0" collapsed="false">
      <c r="A4" s="30" t="s">
        <v>31</v>
      </c>
      <c r="B4" s="29" t="s">
        <v>23</v>
      </c>
      <c r="C4" s="31" t="n">
        <v>76527.42357</v>
      </c>
      <c r="D4" s="31" t="n">
        <v>0</v>
      </c>
      <c r="E4" s="31" t="n">
        <f aca="false">C4+D4</f>
        <v>76527.42357</v>
      </c>
      <c r="F4" s="45" t="n">
        <f aca="false">E4/$E$17</f>
        <v>0.245024332313792</v>
      </c>
    </row>
    <row r="5" customFormat="false" ht="15" hidden="false" customHeight="false" outlineLevel="0" collapsed="false">
      <c r="A5" s="40" t="s">
        <v>35</v>
      </c>
      <c r="B5" s="39" t="s">
        <v>122</v>
      </c>
      <c r="C5" s="41" t="n">
        <v>6333.55</v>
      </c>
      <c r="D5" s="41" t="n">
        <v>48555.09265</v>
      </c>
      <c r="E5" s="41" t="n">
        <f aca="false">C5+D5</f>
        <v>54888.64265</v>
      </c>
      <c r="F5" s="46" t="n">
        <f aca="false">E5/$E$17</f>
        <v>0.175741615090761</v>
      </c>
    </row>
    <row r="6" customFormat="false" ht="15" hidden="false" customHeight="false" outlineLevel="0" collapsed="false">
      <c r="A6" s="27" t="s">
        <v>34</v>
      </c>
      <c r="B6" s="26" t="s">
        <v>28</v>
      </c>
      <c r="C6" s="28" t="n">
        <v>44210.334</v>
      </c>
      <c r="D6" s="28" t="n">
        <v>0</v>
      </c>
      <c r="E6" s="28" t="n">
        <f aca="false">C6+D6</f>
        <v>44210.334</v>
      </c>
      <c r="F6" s="47" t="n">
        <f aca="false">E6/$E$17</f>
        <v>0.141551970056997</v>
      </c>
    </row>
    <row r="7" customFormat="false" ht="15" hidden="false" customHeight="false" outlineLevel="0" collapsed="false">
      <c r="A7" s="30" t="s">
        <v>30</v>
      </c>
      <c r="B7" s="29" t="s">
        <v>23</v>
      </c>
      <c r="C7" s="31" t="n">
        <v>43929.40078</v>
      </c>
      <c r="D7" s="31" t="n">
        <v>0</v>
      </c>
      <c r="E7" s="31" t="n">
        <f aca="false">C7+D7</f>
        <v>43929.40078</v>
      </c>
      <c r="F7" s="45" t="n">
        <f aca="false">E7/$E$17</f>
        <v>0.140652482377364</v>
      </c>
    </row>
    <row r="8" customFormat="false" ht="15" hidden="false" customHeight="false" outlineLevel="0" collapsed="false">
      <c r="A8" s="27" t="s">
        <v>27</v>
      </c>
      <c r="B8" s="26" t="s">
        <v>28</v>
      </c>
      <c r="C8" s="28" t="n">
        <v>13984.408</v>
      </c>
      <c r="D8" s="28" t="n">
        <v>14481.308967</v>
      </c>
      <c r="E8" s="28" t="n">
        <f aca="false">C8+D8</f>
        <v>28465.716967</v>
      </c>
      <c r="F8" s="47" t="n">
        <f aca="false">E8/$E$17</f>
        <v>0.0911410964631873</v>
      </c>
    </row>
    <row r="9" customFormat="false" ht="15" hidden="false" customHeight="false" outlineLevel="0" collapsed="false">
      <c r="A9" s="27" t="s">
        <v>29</v>
      </c>
      <c r="B9" s="26" t="s">
        <v>28</v>
      </c>
      <c r="C9" s="28" t="n">
        <v>23503.606304</v>
      </c>
      <c r="D9" s="28" t="n">
        <v>300</v>
      </c>
      <c r="E9" s="28" t="n">
        <f aca="false">C9+D9</f>
        <v>23803.606304</v>
      </c>
      <c r="F9" s="47" t="n">
        <f aca="false">E9/$E$17</f>
        <v>0.0762140219703463</v>
      </c>
    </row>
    <row r="10" customFormat="false" ht="15" hidden="false" customHeight="false" outlineLevel="0" collapsed="false">
      <c r="A10" s="27" t="s">
        <v>33</v>
      </c>
      <c r="B10" s="26" t="s">
        <v>28</v>
      </c>
      <c r="C10" s="28" t="n">
        <v>14784.25</v>
      </c>
      <c r="D10" s="28" t="n">
        <v>0</v>
      </c>
      <c r="E10" s="28" t="n">
        <f aca="false">C10+D10</f>
        <v>14784.25</v>
      </c>
      <c r="F10" s="47" t="n">
        <f aca="false">E10/$E$17</f>
        <v>0.0473359851412829</v>
      </c>
    </row>
    <row r="11" customFormat="false" ht="15" hidden="false" customHeight="false" outlineLevel="0" collapsed="false">
      <c r="A11" s="27" t="s">
        <v>32</v>
      </c>
      <c r="B11" s="26" t="s">
        <v>28</v>
      </c>
      <c r="C11" s="28" t="n">
        <v>8886.1314</v>
      </c>
      <c r="D11" s="28" t="n">
        <v>0</v>
      </c>
      <c r="E11" s="28" t="n">
        <f aca="false">C11+D11</f>
        <v>8886.1314</v>
      </c>
      <c r="F11" s="47" t="n">
        <f aca="false">E11/$E$17</f>
        <v>0.0284514793725679</v>
      </c>
    </row>
    <row r="12" customFormat="false" ht="15" hidden="false" customHeight="false" outlineLevel="0" collapsed="false">
      <c r="A12" s="30" t="s">
        <v>22</v>
      </c>
      <c r="B12" s="29" t="s">
        <v>23</v>
      </c>
      <c r="C12" s="31" t="n">
        <v>8172.85</v>
      </c>
      <c r="D12" s="31" t="n">
        <v>0</v>
      </c>
      <c r="E12" s="31" t="n">
        <f aca="false">C12+D12</f>
        <v>8172.85</v>
      </c>
      <c r="F12" s="45" t="n">
        <f aca="false">E12/$E$17</f>
        <v>0.0261677059141948</v>
      </c>
    </row>
    <row r="13" customFormat="false" ht="15" hidden="false" customHeight="false" outlineLevel="0" collapsed="false">
      <c r="A13" s="30" t="s">
        <v>36</v>
      </c>
      <c r="B13" s="29" t="s">
        <v>23</v>
      </c>
      <c r="C13" s="31" t="n">
        <v>5656.254602</v>
      </c>
      <c r="D13" s="31" t="n">
        <v>0</v>
      </c>
      <c r="E13" s="31" t="n">
        <f aca="false">C13+D13</f>
        <v>5656.254602</v>
      </c>
      <c r="F13" s="45" t="n">
        <f aca="false">E13/$E$17</f>
        <v>0.0181101093255042</v>
      </c>
    </row>
    <row r="14" customFormat="false" ht="15" hidden="false" customHeight="false" outlineLevel="0" collapsed="false">
      <c r="A14" s="40" t="s">
        <v>24</v>
      </c>
      <c r="B14" s="39" t="s">
        <v>122</v>
      </c>
      <c r="C14" s="41" t="n">
        <v>0</v>
      </c>
      <c r="D14" s="41" t="n">
        <v>1825</v>
      </c>
      <c r="E14" s="41" t="n">
        <f aca="false">C14+D14</f>
        <v>1825</v>
      </c>
      <c r="F14" s="46" t="n">
        <f aca="false">E14/$E$17</f>
        <v>0.00584325703927093</v>
      </c>
    </row>
    <row r="15" customFormat="false" ht="15" hidden="false" customHeight="false" outlineLevel="0" collapsed="false">
      <c r="A15" s="30" t="s">
        <v>26</v>
      </c>
      <c r="B15" s="29" t="s">
        <v>23</v>
      </c>
      <c r="C15" s="31" t="n">
        <v>1176.20181</v>
      </c>
      <c r="D15" s="31" t="n">
        <v>0</v>
      </c>
      <c r="E15" s="31" t="n">
        <f aca="false">C15+D15</f>
        <v>1176.20181</v>
      </c>
      <c r="F15" s="45" t="n">
        <f aca="false">E15/$E$17</f>
        <v>0.0037659449347319</v>
      </c>
    </row>
    <row r="16" customFormat="false" ht="15" hidden="false" customHeight="false" outlineLevel="0" collapsed="false">
      <c r="A16" s="40" t="s">
        <v>123</v>
      </c>
      <c r="B16" s="39" t="s">
        <v>122</v>
      </c>
      <c r="C16" s="41" t="n">
        <v>0</v>
      </c>
      <c r="D16" s="41" t="n">
        <v>0</v>
      </c>
      <c r="E16" s="41" t="n">
        <f aca="false">C16+D16</f>
        <v>0</v>
      </c>
      <c r="F16" s="46" t="n">
        <f aca="false">E16/$E$17</f>
        <v>0</v>
      </c>
    </row>
    <row r="17" customFormat="false" ht="15" hidden="false" customHeight="false" outlineLevel="0" collapsed="false">
      <c r="A17" s="48" t="s">
        <v>38</v>
      </c>
      <c r="B17" s="32"/>
      <c r="C17" s="43" t="n">
        <f aca="false">SUM(C4:C16)</f>
        <v>247164.410466</v>
      </c>
      <c r="D17" s="43" t="n">
        <f aca="false">SUM(D4:D16)</f>
        <v>65161.401617</v>
      </c>
      <c r="E17" s="43" t="n">
        <f aca="false">SUM(E4:E16)</f>
        <v>312325.812083</v>
      </c>
      <c r="F17" s="48" t="s">
        <v>124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24" t="s">
        <v>125</v>
      </c>
      <c r="B1" s="24"/>
      <c r="C1" s="24"/>
      <c r="D1" s="24"/>
      <c r="E1" s="24"/>
      <c r="F1" s="24"/>
      <c r="G1" s="24"/>
    </row>
    <row r="3" customFormat="false" ht="15" hidden="false" customHeight="false" outlineLevel="0" collapsed="false">
      <c r="A3" s="25" t="s">
        <v>15</v>
      </c>
      <c r="B3" s="25" t="s">
        <v>45</v>
      </c>
      <c r="C3" s="25" t="s">
        <v>126</v>
      </c>
      <c r="D3" s="25" t="s">
        <v>127</v>
      </c>
      <c r="E3" s="25" t="s">
        <v>128</v>
      </c>
      <c r="F3" s="25" t="s">
        <v>129</v>
      </c>
      <c r="G3" s="25" t="s">
        <v>130</v>
      </c>
      <c r="H3" s="25" t="s">
        <v>121</v>
      </c>
    </row>
    <row r="4" customFormat="false" ht="15" hidden="false" customHeight="false" outlineLevel="0" collapsed="false">
      <c r="A4" s="27" t="s">
        <v>34</v>
      </c>
      <c r="B4" s="26" t="s">
        <v>28</v>
      </c>
      <c r="C4" s="28" t="n">
        <v>42488.6136020833</v>
      </c>
      <c r="D4" s="28" t="n">
        <v>1996</v>
      </c>
      <c r="E4" s="28" t="n">
        <v>44210.334</v>
      </c>
      <c r="F4" s="28" t="n">
        <v>0</v>
      </c>
      <c r="G4" s="28" t="n">
        <f aca="false">SUM(C4:F4)</f>
        <v>88694.9476020833</v>
      </c>
      <c r="H4" s="47" t="n">
        <f aca="false">G4/$G$19</f>
        <v>0.168792561737828</v>
      </c>
    </row>
    <row r="5" customFormat="false" ht="15" hidden="false" customHeight="false" outlineLevel="0" collapsed="false">
      <c r="A5" s="30" t="s">
        <v>31</v>
      </c>
      <c r="B5" s="29" t="s">
        <v>23</v>
      </c>
      <c r="C5" s="31" t="n">
        <v>0</v>
      </c>
      <c r="D5" s="31" t="n">
        <v>0</v>
      </c>
      <c r="E5" s="31" t="n">
        <v>76527.42357</v>
      </c>
      <c r="F5" s="31" t="n">
        <v>0</v>
      </c>
      <c r="G5" s="31" t="n">
        <f aca="false">SUM(C5:F5)</f>
        <v>76527.42357</v>
      </c>
      <c r="H5" s="45" t="n">
        <f aca="false">G5/$G$19</f>
        <v>0.145636929913162</v>
      </c>
    </row>
    <row r="6" customFormat="false" ht="15" hidden="false" customHeight="false" outlineLevel="0" collapsed="false">
      <c r="A6" s="27" t="s">
        <v>33</v>
      </c>
      <c r="B6" s="26" t="s">
        <v>28</v>
      </c>
      <c r="C6" s="28" t="n">
        <v>42488.6136020833</v>
      </c>
      <c r="D6" s="28" t="n">
        <v>7200</v>
      </c>
      <c r="E6" s="28" t="n">
        <v>14784.25</v>
      </c>
      <c r="F6" s="28" t="n">
        <v>0</v>
      </c>
      <c r="G6" s="28" t="n">
        <f aca="false">SUM(C6:F6)</f>
        <v>64472.8636020833</v>
      </c>
      <c r="H6" s="47" t="n">
        <f aca="false">G6/$G$19</f>
        <v>0.122696276441722</v>
      </c>
    </row>
    <row r="7" customFormat="false" ht="15" hidden="false" customHeight="false" outlineLevel="0" collapsed="false">
      <c r="A7" s="40" t="s">
        <v>35</v>
      </c>
      <c r="B7" s="39" t="s">
        <v>122</v>
      </c>
      <c r="C7" s="41" t="n">
        <v>0</v>
      </c>
      <c r="D7" s="41" t="n">
        <v>0</v>
      </c>
      <c r="E7" s="41" t="n">
        <v>6333.55</v>
      </c>
      <c r="F7" s="41" t="n">
        <v>48555.09265</v>
      </c>
      <c r="G7" s="41" t="n">
        <f aca="false">SUM(C7:F7)</f>
        <v>54888.64265</v>
      </c>
      <c r="H7" s="46" t="n">
        <f aca="false">G7/$G$19</f>
        <v>0.10445684735923</v>
      </c>
    </row>
    <row r="8" customFormat="false" ht="15" hidden="false" customHeight="false" outlineLevel="0" collapsed="false">
      <c r="A8" s="30" t="s">
        <v>30</v>
      </c>
      <c r="B8" s="29" t="s">
        <v>23</v>
      </c>
      <c r="C8" s="31" t="n">
        <v>8497.72272041667</v>
      </c>
      <c r="D8" s="31" t="n">
        <v>0</v>
      </c>
      <c r="E8" s="31" t="n">
        <v>43929.40078</v>
      </c>
      <c r="F8" s="31" t="n">
        <v>0</v>
      </c>
      <c r="G8" s="31" t="n">
        <f aca="false">SUM(C8:F8)</f>
        <v>52427.1235004167</v>
      </c>
      <c r="H8" s="45" t="n">
        <f aca="false">G8/$G$19</f>
        <v>0.0997724077800005</v>
      </c>
    </row>
    <row r="9" customFormat="false" ht="15" hidden="false" customHeight="false" outlineLevel="0" collapsed="false">
      <c r="A9" s="27" t="s">
        <v>29</v>
      </c>
      <c r="B9" s="26" t="s">
        <v>28</v>
      </c>
      <c r="C9" s="28" t="n">
        <v>25493.16816125</v>
      </c>
      <c r="D9" s="28" t="n">
        <v>0</v>
      </c>
      <c r="E9" s="28" t="n">
        <v>23503.606304</v>
      </c>
      <c r="F9" s="28" t="n">
        <v>300</v>
      </c>
      <c r="G9" s="28" t="n">
        <f aca="false">SUM(C9:F9)</f>
        <v>49296.77446525</v>
      </c>
      <c r="H9" s="47" t="n">
        <f aca="false">G9/$G$19</f>
        <v>0.0938151391072705</v>
      </c>
    </row>
    <row r="10" customFormat="false" ht="15" hidden="false" customHeight="false" outlineLevel="0" collapsed="false">
      <c r="A10" s="27" t="s">
        <v>27</v>
      </c>
      <c r="B10" s="26" t="s">
        <v>28</v>
      </c>
      <c r="C10" s="28" t="n">
        <v>16995.4454408333</v>
      </c>
      <c r="D10" s="28" t="n">
        <v>0</v>
      </c>
      <c r="E10" s="28" t="n">
        <v>13984.408</v>
      </c>
      <c r="F10" s="28" t="n">
        <v>14481.308967</v>
      </c>
      <c r="G10" s="28" t="n">
        <f aca="false">SUM(C10:F10)</f>
        <v>45461.1624078333</v>
      </c>
      <c r="H10" s="47" t="n">
        <f aca="false">G10/$G$19</f>
        <v>0.0865157065859455</v>
      </c>
    </row>
    <row r="11" customFormat="false" ht="15" hidden="false" customHeight="false" outlineLevel="0" collapsed="false">
      <c r="A11" s="27" t="s">
        <v>32</v>
      </c>
      <c r="B11" s="26" t="s">
        <v>28</v>
      </c>
      <c r="C11" s="28" t="n">
        <v>16995.4454408333</v>
      </c>
      <c r="D11" s="28" t="n">
        <v>0</v>
      </c>
      <c r="E11" s="28" t="n">
        <v>8886.1314</v>
      </c>
      <c r="F11" s="28" t="n">
        <v>0</v>
      </c>
      <c r="G11" s="28" t="n">
        <f aca="false">SUM(C11:F11)</f>
        <v>25881.5768408333</v>
      </c>
      <c r="H11" s="47" t="n">
        <f aca="false">G11/$G$19</f>
        <v>0.0492544138633224</v>
      </c>
    </row>
    <row r="12" customFormat="false" ht="15" hidden="false" customHeight="false" outlineLevel="0" collapsed="false">
      <c r="A12" s="30" t="s">
        <v>37</v>
      </c>
      <c r="B12" s="29" t="s">
        <v>23</v>
      </c>
      <c r="C12" s="31" t="n">
        <v>25493.16816125</v>
      </c>
      <c r="D12" s="31" t="n">
        <v>0</v>
      </c>
      <c r="E12" s="31" t="n">
        <v>0</v>
      </c>
      <c r="F12" s="31" t="n">
        <v>0</v>
      </c>
      <c r="G12" s="31" t="n">
        <f aca="false">SUM(C12:F12)</f>
        <v>25493.16816125</v>
      </c>
      <c r="H12" s="45" t="n">
        <f aca="false">G12/$G$19</f>
        <v>0.048515245536371</v>
      </c>
    </row>
    <row r="13" customFormat="false" ht="15" hidden="false" customHeight="false" outlineLevel="0" collapsed="false">
      <c r="A13" s="30" t="s">
        <v>22</v>
      </c>
      <c r="B13" s="29" t="s">
        <v>23</v>
      </c>
      <c r="C13" s="31" t="n">
        <v>8497.72272041667</v>
      </c>
      <c r="D13" s="31" t="n">
        <v>0</v>
      </c>
      <c r="E13" s="31" t="n">
        <v>8172.85</v>
      </c>
      <c r="F13" s="31" t="n">
        <v>0</v>
      </c>
      <c r="G13" s="31" t="n">
        <f aca="false">SUM(C13:F13)</f>
        <v>16670.5727204167</v>
      </c>
      <c r="H13" s="45" t="n">
        <f aca="false">G13/$G$19</f>
        <v>0.0317252419804101</v>
      </c>
    </row>
    <row r="14" customFormat="false" ht="15" hidden="false" customHeight="false" outlineLevel="0" collapsed="false">
      <c r="A14" s="30" t="s">
        <v>36</v>
      </c>
      <c r="B14" s="29" t="s">
        <v>23</v>
      </c>
      <c r="C14" s="31" t="n">
        <v>8497.72272041667</v>
      </c>
      <c r="D14" s="31" t="n">
        <v>0</v>
      </c>
      <c r="E14" s="31" t="n">
        <v>5656.254602</v>
      </c>
      <c r="F14" s="31" t="n">
        <v>0</v>
      </c>
      <c r="G14" s="31" t="n">
        <f aca="false">SUM(C14:F14)</f>
        <v>14153.9773224167</v>
      </c>
      <c r="H14" s="45" t="n">
        <f aca="false">G14/$G$19</f>
        <v>0.0269359885271946</v>
      </c>
    </row>
    <row r="15" customFormat="false" ht="15" hidden="false" customHeight="false" outlineLevel="0" collapsed="false">
      <c r="A15" s="30" t="s">
        <v>26</v>
      </c>
      <c r="B15" s="29" t="s">
        <v>23</v>
      </c>
      <c r="C15" s="31" t="n">
        <v>8497.72272041667</v>
      </c>
      <c r="D15" s="31" t="n">
        <v>0</v>
      </c>
      <c r="E15" s="31" t="n">
        <v>1176.20181</v>
      </c>
      <c r="F15" s="31" t="n">
        <v>0</v>
      </c>
      <c r="G15" s="31" t="n">
        <f aca="false">SUM(C15:F15)</f>
        <v>9673.92453041667</v>
      </c>
      <c r="H15" s="45" t="n">
        <f aca="false">G15/$G$19</f>
        <v>0.0184101411376119</v>
      </c>
    </row>
    <row r="16" customFormat="false" ht="15" hidden="false" customHeight="false" outlineLevel="0" collapsed="false">
      <c r="A16" s="40" t="s">
        <v>24</v>
      </c>
      <c r="B16" s="39" t="s">
        <v>122</v>
      </c>
      <c r="C16" s="41" t="n">
        <v>0</v>
      </c>
      <c r="D16" s="41" t="n">
        <v>0</v>
      </c>
      <c r="E16" s="41" t="n">
        <v>0</v>
      </c>
      <c r="F16" s="41" t="n">
        <v>1825</v>
      </c>
      <c r="G16" s="41" t="n">
        <f aca="false">SUM(C16:F16)</f>
        <v>1825</v>
      </c>
      <c r="H16" s="46" t="n">
        <f aca="false">G16/$G$19</f>
        <v>0.00347310002993114</v>
      </c>
    </row>
    <row r="17" customFormat="false" ht="15" hidden="false" customHeight="false" outlineLevel="0" collapsed="false">
      <c r="A17" s="40" t="s">
        <v>123</v>
      </c>
      <c r="B17" s="39" t="s">
        <v>122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f aca="false">SUM(C17:F17)</f>
        <v>0</v>
      </c>
      <c r="H17" s="46" t="n">
        <f aca="false">G17/$G$19</f>
        <v>0</v>
      </c>
    </row>
    <row r="18" customFormat="false" ht="15" hidden="false" customHeight="false" outlineLevel="0" collapsed="false">
      <c r="A18" s="40" t="s">
        <v>102</v>
      </c>
      <c r="B18" s="39" t="s">
        <v>122</v>
      </c>
      <c r="C18" s="41" t="n">
        <v>0</v>
      </c>
      <c r="D18" s="41" t="n">
        <v>0</v>
      </c>
      <c r="E18" s="41" t="n">
        <v>0</v>
      </c>
      <c r="F18" s="41" t="n">
        <v>0</v>
      </c>
      <c r="G18" s="41" t="n">
        <f aca="false">SUM(C18:F18)</f>
        <v>0</v>
      </c>
      <c r="H18" s="46" t="n">
        <f aca="false">G18/$G$19</f>
        <v>0</v>
      </c>
    </row>
    <row r="19" customFormat="false" ht="15" hidden="false" customHeight="false" outlineLevel="0" collapsed="false">
      <c r="A19" s="48" t="s">
        <v>38</v>
      </c>
      <c r="B19" s="48"/>
      <c r="C19" s="43" t="n">
        <f aca="false">SUM(C4:C18)</f>
        <v>203945.34529</v>
      </c>
      <c r="D19" s="43" t="n">
        <f aca="false">SUM(D4:D18)</f>
        <v>9196</v>
      </c>
      <c r="E19" s="43" t="n">
        <f aca="false">SUM(E4:E18)</f>
        <v>247164.410466</v>
      </c>
      <c r="F19" s="43" t="n">
        <f aca="false">SUM(F4:F18)</f>
        <v>65161.401617</v>
      </c>
      <c r="G19" s="43" t="n">
        <f aca="false">SUM(G4:G18)</f>
        <v>525467.157373</v>
      </c>
      <c r="H19" s="48" t="s">
        <v>124</v>
      </c>
    </row>
    <row r="21" customFormat="false" ht="15" hidden="false" customHeight="false" outlineLevel="0" collapsed="false">
      <c r="A21" s="49" t="s">
        <v>131</v>
      </c>
      <c r="B21" s="50"/>
      <c r="C21" s="50"/>
      <c r="D21" s="50"/>
      <c r="E21" s="50"/>
      <c r="F21" s="50"/>
      <c r="G21" s="51" t="n">
        <f aca="false">SUMIF(B4:B18,"Vendible",G4:G18)</f>
        <v>273807.324918083</v>
      </c>
      <c r="H21" s="52" t="n">
        <f aca="false">G21/G19</f>
        <v>0.521074097736089</v>
      </c>
    </row>
    <row r="22" customFormat="false" ht="15" hidden="false" customHeight="false" outlineLevel="0" collapsed="false">
      <c r="A22" s="49" t="s">
        <v>132</v>
      </c>
      <c r="B22" s="50"/>
      <c r="C22" s="50"/>
      <c r="D22" s="50"/>
      <c r="E22" s="50"/>
      <c r="F22" s="50"/>
      <c r="G22" s="51" t="n">
        <f aca="false">SUMIF(B4:B18,"Soporte",G4:G18)</f>
        <v>194946.189804917</v>
      </c>
      <c r="H22" s="52" t="n">
        <f aca="false">G22/G19</f>
        <v>0.37099595487475</v>
      </c>
    </row>
    <row r="23" customFormat="false" ht="15" hidden="false" customHeight="false" outlineLevel="0" collapsed="false">
      <c r="A23" s="49" t="s">
        <v>133</v>
      </c>
      <c r="B23" s="50"/>
      <c r="C23" s="50"/>
      <c r="D23" s="50"/>
      <c r="E23" s="50"/>
      <c r="F23" s="50"/>
      <c r="G23" s="51" t="n">
        <f aca="false">SUMIF(B4:B18,"Industria/Otro",G4:G18)</f>
        <v>56713.64265</v>
      </c>
      <c r="H23" s="52" t="n">
        <f aca="false">G23/G19</f>
        <v>0.107929947389161</v>
      </c>
    </row>
    <row r="25" customFormat="false" ht="15" hidden="false" customHeight="false" outlineLevel="0" collapsed="false">
      <c r="A25" s="44" t="s">
        <v>134</v>
      </c>
      <c r="B25" s="44"/>
      <c r="C25" s="44"/>
      <c r="D25" s="44"/>
      <c r="E25" s="44"/>
      <c r="F25" s="44"/>
      <c r="G25" s="44"/>
      <c r="H25" s="44"/>
    </row>
  </sheetData>
  <mergeCells count="2">
    <mergeCell ref="A1:G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2026-04-14T18:45:31Z</dcterms:created>
  <dc:creator>openpyxl</dc:creator>
  <dc:description/>
  <dc:language>en-US</dc:language>
  <cp:lastModifiedBy/>
  <dcterms:modified xsi:type="dcterms:W3CDTF">2026-04-14T18:49:37Z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